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Funnel_Model" sheetId="2" state="visible" r:id="rId2"/>
    <sheet xmlns:r="http://schemas.openxmlformats.org/officeDocument/2006/relationships" name="Sensitivit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B2430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8" customWidth="1" min="3" max="3"/>
    <col width="46" customWidth="1" min="4" max="4"/>
    <col width="46" customWidth="1" min="5" max="5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Source</t>
        </is>
      </c>
      <c r="E1" s="1" t="inlineStr">
        <is>
          <t>Notes</t>
        </is>
      </c>
    </row>
    <row r="2">
      <c r="A2" t="inlineStr">
        <is>
          <t>USD:INR rate</t>
        </is>
      </c>
      <c r="B2" s="2" t="n">
        <v>95.8</v>
      </c>
      <c r="C2" t="inlineStr">
        <is>
          <t>rate</t>
        </is>
      </c>
      <c r="D2" t="inlineStr">
        <is>
          <t>Federal Reserve H.10 release, 14 Sep 2026 (via TradingEconomics/other trackers, 22 Sep 2026 read)</t>
        </is>
      </c>
      <c r="E2" t="inlineStr">
        <is>
          <t>Used only to convert the global $32-35 AOV figure into INR</t>
        </is>
      </c>
    </row>
    <row r="3">
      <c r="A3" t="inlineStr">
        <is>
          <t>AOV — India blended, low</t>
        </is>
      </c>
      <c r="B3" s="2" t="n">
        <v>32</v>
      </c>
      <c r="C3" t="inlineStr">
        <is>
          <t>USD</t>
        </is>
      </c>
      <c r="D3" t="inlineStr">
        <is>
          <t>Social Samosa / Whalesbook, citing 3M+ order analysis, first five months of 2026</t>
        </is>
      </c>
      <c r="E3" t="inlineStr">
        <is>
          <t>India e-commerce blended AOV rose $32 to $35 in the period</t>
        </is>
      </c>
    </row>
    <row r="4">
      <c r="A4" t="inlineStr">
        <is>
          <t>AOV — India blended, high</t>
        </is>
      </c>
      <c r="B4" s="2" t="n">
        <v>35</v>
      </c>
      <c r="C4" t="inlineStr">
        <is>
          <t>USD</t>
        </is>
      </c>
      <c r="D4" t="inlineStr">
        <is>
          <t>Social Samosa / Whalesbook, citing 3M+ order analysis, first five months of 2026</t>
        </is>
      </c>
      <c r="E4" t="inlineStr">
        <is>
          <t>India e-commerce blended AOV rose $32 to $35 in the period</t>
        </is>
      </c>
    </row>
    <row r="5">
      <c r="A5" t="inlineStr">
        <is>
          <t>AOV — India blended (INR, derived)</t>
        </is>
      </c>
      <c r="B5">
        <f>AVERAGE(B3:B4)*B2</f>
        <v/>
      </c>
      <c r="C5" t="inlineStr">
        <is>
          <t>INR</t>
        </is>
      </c>
      <c r="D5" t="inlineStr">
        <is>
          <t>Derived</t>
        </is>
      </c>
      <c r="E5">
        <f> average($/order) x FX rate</f>
        <v/>
      </c>
    </row>
    <row r="7">
      <c r="A7" s="3" t="inlineStr">
        <is>
          <t>-- Display channel --</t>
        </is>
      </c>
    </row>
    <row r="8">
      <c r="A8" t="inlineStr">
        <is>
          <t>Display CTR</t>
        </is>
      </c>
      <c r="B8" s="2" t="n">
        <v>0.46</v>
      </c>
      <c r="C8" t="inlineStr">
        <is>
          <t>%</t>
        </is>
      </c>
      <c r="D8" t="inlineStr">
        <is>
          <t>WebFX — 2026 Google Ads Benchmarks</t>
        </is>
      </c>
      <c r="E8" t="inlineStr">
        <is>
          <t>Global average display CTR</t>
        </is>
      </c>
    </row>
    <row r="9">
      <c r="A9" t="inlineStr">
        <is>
          <t>Display CVR</t>
        </is>
      </c>
      <c r="B9" s="2" t="n">
        <v>0.57</v>
      </c>
      <c r="C9" t="inlineStr">
        <is>
          <t>%</t>
        </is>
      </c>
      <c r="D9" t="inlineStr">
        <is>
          <t>WebFX — 2026 Google Ads Benchmarks</t>
        </is>
      </c>
      <c r="E9" t="inlineStr">
        <is>
          <t>Global average display conversion rate (of clicks)</t>
        </is>
      </c>
    </row>
    <row r="10">
      <c r="A10" t="inlineStr">
        <is>
          <t>Display CPC — global</t>
        </is>
      </c>
      <c r="B10" s="2" t="n">
        <v>0.63</v>
      </c>
      <c r="C10" t="inlineStr">
        <is>
          <t>USD</t>
        </is>
      </c>
      <c r="D10" t="inlineStr">
        <is>
          <t>WebFX — 2026 Google Ads Benchmarks</t>
        </is>
      </c>
      <c r="E10" t="inlineStr">
        <is>
          <t>Global average display CPC</t>
        </is>
      </c>
    </row>
    <row r="11">
      <c r="A11" t="inlineStr">
        <is>
          <t>India CPC discount — low</t>
        </is>
      </c>
      <c r="B11" s="2" t="n">
        <v>70</v>
      </c>
      <c r="C11" t="inlineStr">
        <is>
          <t>%</t>
        </is>
      </c>
      <c r="D11" t="inlineStr">
        <is>
          <t>OwlClaw — PPC Benchmarks India 2026</t>
        </is>
      </c>
      <c r="E11" t="inlineStr">
        <is>
          <t>India CPCs reported 70-85% lower than US averages</t>
        </is>
      </c>
    </row>
    <row r="12">
      <c r="A12" t="inlineStr">
        <is>
          <t>India CPC discount — high</t>
        </is>
      </c>
      <c r="B12" s="2" t="n">
        <v>85</v>
      </c>
      <c r="C12" t="inlineStr">
        <is>
          <t>%</t>
        </is>
      </c>
      <c r="D12" t="inlineStr">
        <is>
          <t>OwlClaw — PPC Benchmarks India 2026</t>
        </is>
      </c>
      <c r="E12" t="inlineStr">
        <is>
          <t>India CPCs reported 70-85% lower than US averages</t>
        </is>
      </c>
    </row>
    <row r="13">
      <c r="A13" t="inlineStr">
        <is>
          <t>Display CPC — India (derived)</t>
        </is>
      </c>
      <c r="B13">
        <f>B10*(1-AVERAGE(B11:B12)/100)*B2</f>
        <v/>
      </c>
      <c r="C13" t="inlineStr">
        <is>
          <t>INR</t>
        </is>
      </c>
      <c r="D13" t="inlineStr">
        <is>
          <t>Derived</t>
        </is>
      </c>
      <c r="E13" t="inlineStr">
        <is>
          <t>global CPC x (1 - avg India discount) x FX</t>
        </is>
      </c>
    </row>
    <row r="14">
      <c r="A14" t="inlineStr">
        <is>
          <t>Display CPM (derived)</t>
        </is>
      </c>
      <c r="B14">
        <f>B13*(B8/100)*1000</f>
        <v/>
      </c>
      <c r="C14" t="inlineStr">
        <is>
          <t>INR</t>
        </is>
      </c>
      <c r="D14" t="inlineStr">
        <is>
          <t>Derived</t>
        </is>
      </c>
      <c r="E14" t="inlineStr">
        <is>
          <t>CPC x CTR_fraction x 1000</t>
        </is>
      </c>
    </row>
    <row r="16">
      <c r="A16" s="3" t="inlineStr">
        <is>
          <t>-- Shopping / Sponsored channel --</t>
        </is>
      </c>
    </row>
    <row r="17">
      <c r="A17" t="inlineStr">
        <is>
          <t>Shopping CTR</t>
        </is>
      </c>
      <c r="B17" s="2" t="n">
        <v>5.75</v>
      </c>
      <c r="C17" t="inlineStr">
        <is>
          <t>%</t>
        </is>
      </c>
      <c r="D17" t="inlineStr">
        <is>
          <t>OwlClaw — PPC Benchmarks India 2026</t>
        </is>
      </c>
      <c r="E17" t="inlineStr">
        <is>
          <t>India search-campaign CTR range 4.5-7%25, midpoint used as proxy for sponsored/shopping placements</t>
        </is>
      </c>
    </row>
    <row r="18">
      <c r="A18" t="inlineStr">
        <is>
          <t>Shopping CVR</t>
        </is>
      </c>
      <c r="B18" s="2" t="n">
        <v>1.91</v>
      </c>
      <c r="C18" t="inlineStr">
        <is>
          <t>%</t>
        </is>
      </c>
      <c r="D18" t="inlineStr">
        <is>
          <t>Store Growers — Google Shopping Ads Benchmarks 2026</t>
        </is>
      </c>
      <c r="E18" t="inlineStr">
        <is>
          <t>Global average Shopping-visitor conversion rate; India-specific not available</t>
        </is>
      </c>
    </row>
    <row r="19">
      <c r="A19" t="inlineStr">
        <is>
          <t>Shopping CPC — India, low</t>
        </is>
      </c>
      <c r="B19" s="2" t="n">
        <v>5</v>
      </c>
      <c r="C19" t="inlineStr">
        <is>
          <t>INR</t>
        </is>
      </c>
      <c r="D19" t="inlineStr">
        <is>
          <t>OwlClaw — Google Shopping Benchmarks 2026</t>
        </is>
      </c>
      <c r="E19" t="inlineStr">
        <is>
          <t>India Google Shopping CPC range</t>
        </is>
      </c>
    </row>
    <row r="20">
      <c r="A20" t="inlineStr">
        <is>
          <t>Shopping CPC — India, high</t>
        </is>
      </c>
      <c r="B20" s="2" t="n">
        <v>15</v>
      </c>
      <c r="C20" t="inlineStr">
        <is>
          <t>INR</t>
        </is>
      </c>
      <c r="D20" t="inlineStr">
        <is>
          <t>OwlClaw — Google Shopping Benchmarks 2026</t>
        </is>
      </c>
      <c r="E20" t="inlineStr">
        <is>
          <t>India Google Shopping CPC range</t>
        </is>
      </c>
    </row>
    <row r="21">
      <c r="A21" t="inlineStr">
        <is>
          <t>Shopping CPC — India (mid, derived)</t>
        </is>
      </c>
      <c r="B21">
        <f>AVERAGE(B19:B20)</f>
        <v/>
      </c>
      <c r="C21" t="inlineStr">
        <is>
          <t>INR</t>
        </is>
      </c>
      <c r="D21" t="inlineStr">
        <is>
          <t>Derived</t>
        </is>
      </c>
      <c r="E21" t="inlineStr">
        <is>
          <t>midpoint of disclosed range</t>
        </is>
      </c>
    </row>
    <row r="22">
      <c r="A22" t="inlineStr">
        <is>
          <t>Shopping CPM (derived)</t>
        </is>
      </c>
      <c r="B22">
        <f>B21*(B17/100)*1000</f>
        <v/>
      </c>
      <c r="C22" t="inlineStr">
        <is>
          <t>INR</t>
        </is>
      </c>
      <c r="D22" t="inlineStr">
        <is>
          <t>Derived</t>
        </is>
      </c>
      <c r="E22" t="inlineStr">
        <is>
          <t>CPC x CTR_fraction x 1000</t>
        </is>
      </c>
    </row>
    <row r="24">
      <c r="A24" s="3" t="inlineStr">
        <is>
          <t>-- Campaign assumptions (illustrative — replace before any resume claim) --</t>
        </is>
      </c>
    </row>
    <row r="25">
      <c r="A25" t="inlineStr">
        <is>
          <t>Fixed campaign cost</t>
        </is>
      </c>
      <c r="B25" s="2" t="n">
        <v>75000</v>
      </c>
      <c r="C25" t="inlineStr">
        <is>
          <t>INR</t>
        </is>
      </c>
      <c r="D25" t="inlineStr">
        <is>
          <t>ASSUMPTION — not sourced</t>
        </is>
      </c>
      <c r="E25" t="inlineStr">
        <is>
          <t>Illustrative creative production + ad-ops fixed fee; replace with a real rate card figure before any resume claim</t>
        </is>
      </c>
    </row>
    <row r="26">
      <c r="A26" t="inlineStr">
        <is>
          <t>Incrementality haircut (base)</t>
        </is>
      </c>
      <c r="B26" s="2" t="n">
        <v>30</v>
      </c>
      <c r="C26" t="inlineStr">
        <is>
          <t>%</t>
        </is>
      </c>
      <c r="D26" t="inlineStr">
        <is>
          <t>ASSUMPTION — not sourced</t>
        </is>
      </c>
      <c r="E26" t="inlineStr">
        <is>
          <t>Fraction of attributed revenue assumed to have happened anyway without the campaign; a real haircut requires a holdout test</t>
        </is>
      </c>
    </row>
    <row r="27">
      <c r="A27" t="inlineStr">
        <is>
          <t>Test spend</t>
        </is>
      </c>
      <c r="B27" s="2" t="n">
        <v>500000</v>
      </c>
      <c r="C27" t="inlineStr">
        <is>
          <t>INR</t>
        </is>
      </c>
      <c r="D27" t="inlineStr">
        <is>
          <t>Illustrative</t>
        </is>
      </c>
      <c r="E27" t="inlineStr">
        <is>
          <t>Editable — drives Funnel Model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cols>
    <col width="11" customWidth="1" min="1" max="1"/>
    <col width="13" customWidth="1" min="2" max="2"/>
    <col width="11" customWidth="1" min="3" max="3"/>
    <col width="13" customWidth="1" min="4" max="4"/>
    <col width="8" customWidth="1" min="5" max="5"/>
    <col width="11" customWidth="1" min="6" max="6"/>
    <col width="8" customWidth="1" min="7" max="7"/>
    <col width="10" customWidth="1" min="8" max="8"/>
    <col width="11" customWidth="1" min="9" max="9"/>
    <col width="16" customWidth="1" min="10" max="10"/>
    <col width="9" customWidth="1" min="11" max="11"/>
    <col width="18" customWidth="1" min="12" max="12"/>
    <col width="15" customWidth="1" min="13" max="13"/>
    <col width="18" customWidth="1" min="14" max="14"/>
  </cols>
  <sheetData>
    <row r="1">
      <c r="A1" s="1" t="inlineStr">
        <is>
          <t>Channel</t>
        </is>
      </c>
      <c r="B1" s="1" t="inlineStr">
        <is>
          <t>Spend (INR)</t>
        </is>
      </c>
      <c r="C1" s="1" t="inlineStr">
        <is>
          <t>CPM (INR)</t>
        </is>
      </c>
      <c r="D1" s="1" t="inlineStr">
        <is>
          <t>Impressions</t>
        </is>
      </c>
      <c r="E1" s="1" t="inlineStr">
        <is>
          <t>CTR %</t>
        </is>
      </c>
      <c r="F1" s="1" t="inlineStr">
        <is>
          <t>Clicks</t>
        </is>
      </c>
      <c r="G1" s="1" t="inlineStr">
        <is>
          <t>CVR %</t>
        </is>
      </c>
      <c r="H1" s="1" t="inlineStr">
        <is>
          <t>Orders</t>
        </is>
      </c>
      <c r="I1" s="1" t="inlineStr">
        <is>
          <t>AOV (INR)</t>
        </is>
      </c>
      <c r="J1" s="1" t="inlineStr">
        <is>
          <t>Gross Revenue (INR)</t>
        </is>
      </c>
      <c r="K1" s="1" t="inlineStr">
        <is>
          <t>Haircut %</t>
        </is>
      </c>
      <c r="L1" s="1" t="inlineStr">
        <is>
          <t>Incremental Revenue (INR)</t>
        </is>
      </c>
      <c r="M1" s="1" t="inlineStr">
        <is>
          <t>Incremental ROAS</t>
        </is>
      </c>
      <c r="N1" s="1" t="inlineStr">
        <is>
          <t>Break-even Spend (INR)</t>
        </is>
      </c>
    </row>
    <row r="2">
      <c r="A2" t="inlineStr">
        <is>
          <t>Display</t>
        </is>
      </c>
      <c r="B2">
        <f>Assumptions!B27</f>
        <v/>
      </c>
      <c r="C2">
        <f>Assumptions!B14</f>
        <v/>
      </c>
      <c r="D2">
        <f>B2/C2*1000</f>
        <v/>
      </c>
      <c r="E2">
        <f>Assumptions!B8</f>
        <v/>
      </c>
      <c r="F2">
        <f>D2*(E2/100)</f>
        <v/>
      </c>
      <c r="G2">
        <f>Assumptions!B9</f>
        <v/>
      </c>
      <c r="H2">
        <f>F2*(G2/100)</f>
        <v/>
      </c>
      <c r="I2">
        <f>Assumptions!B5</f>
        <v/>
      </c>
      <c r="J2">
        <f>H2*I2</f>
        <v/>
      </c>
      <c r="K2">
        <f>Assumptions!B26</f>
        <v/>
      </c>
      <c r="L2">
        <f>J2*(1-K2/100)</f>
        <v/>
      </c>
      <c r="M2">
        <f>L2/B2</f>
        <v/>
      </c>
      <c r="N2">
        <f>IF(M2&gt;1,Assumptions!B25/(M2-1),"NEVER")</f>
        <v/>
      </c>
    </row>
    <row r="3">
      <c r="A3" t="inlineStr">
        <is>
          <t>Shopping</t>
        </is>
      </c>
      <c r="B3">
        <f>Assumptions!B27</f>
        <v/>
      </c>
      <c r="C3">
        <f>Assumptions!B22</f>
        <v/>
      </c>
      <c r="D3">
        <f>B3/C3*1000</f>
        <v/>
      </c>
      <c r="E3">
        <f>Assumptions!B17</f>
        <v/>
      </c>
      <c r="F3">
        <f>D3*(E3/100)</f>
        <v/>
      </c>
      <c r="G3">
        <f>Assumptions!B18</f>
        <v/>
      </c>
      <c r="H3">
        <f>F3*(G3/100)</f>
        <v/>
      </c>
      <c r="I3">
        <f>Assumptions!B5</f>
        <v/>
      </c>
      <c r="J3">
        <f>H3*I3</f>
        <v/>
      </c>
      <c r="K3">
        <f>Assumptions!B26</f>
        <v/>
      </c>
      <c r="L3">
        <f>J3*(1-K3/100)</f>
        <v/>
      </c>
      <c r="M3">
        <f>L3/B3</f>
        <v/>
      </c>
      <c r="N3">
        <f>IF(M3&gt;1,Assumptions!B25/(M3-1),"NEVER")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9" customWidth="1" min="4" max="4"/>
    <col width="24" customWidth="1" min="5" max="5"/>
    <col width="14" customWidth="1" min="6" max="6"/>
  </cols>
  <sheetData>
    <row r="1">
      <c r="A1" s="1" t="inlineStr">
        <is>
          <t>Channel</t>
        </is>
      </c>
      <c r="B1" s="1" t="inlineStr">
        <is>
          <t>Lever</t>
        </is>
      </c>
      <c r="C1" s="1" t="inlineStr">
        <is>
          <t>Direction</t>
        </is>
      </c>
      <c r="D1" s="1" t="inlineStr">
        <is>
          <t>Delta %</t>
        </is>
      </c>
      <c r="E1" s="1" t="inlineStr">
        <is>
          <t>Resulting Incremental ROAS</t>
        </is>
      </c>
      <c r="F1" s="1" t="inlineStr">
        <is>
          <t>vs Base ROAS</t>
        </is>
      </c>
    </row>
    <row r="2">
      <c r="A2" t="inlineStr">
        <is>
          <t>Display</t>
        </is>
      </c>
      <c r="B2" t="inlineStr">
        <is>
          <t>CTR</t>
        </is>
      </c>
      <c r="C2" t="inlineStr">
        <is>
          <t>low</t>
        </is>
      </c>
      <c r="D2" t="n">
        <v>-20</v>
      </c>
      <c r="E2">
        <f>((((((Assumptions!B27/Assumptions!B14*1000)*(Assumptions!B8*(1+-20/100))/100)*(Assumptions!B9)/100)*Assumptions!B5)*(1-(Assumptions!B26)/100))/Assumptions!B27)</f>
        <v/>
      </c>
      <c r="F2">
        <f>((((((Assumptions!B27/Assumptions!B14*1000)*(Assumptions!B8*(1+-20/100))/100)*(Assumptions!B9)/100)*Assumptions!B5)*(1-(Assumptions!B26)/100))/Assumptions!B27)-Funnel_Model!M2</f>
        <v/>
      </c>
    </row>
    <row r="3">
      <c r="A3" t="inlineStr">
        <is>
          <t>Display</t>
        </is>
      </c>
      <c r="B3" t="inlineStr">
        <is>
          <t>CTR</t>
        </is>
      </c>
      <c r="C3" t="inlineStr">
        <is>
          <t>high</t>
        </is>
      </c>
      <c r="D3" t="n">
        <v>20</v>
      </c>
      <c r="E3">
        <f>((((((Assumptions!B27/Assumptions!B14*1000)*(Assumptions!B8*(1+20/100))/100)*(Assumptions!B9)/100)*Assumptions!B5)*(1-(Assumptions!B26)/100))/Assumptions!B27)</f>
        <v/>
      </c>
      <c r="F3">
        <f>((((((Assumptions!B27/Assumptions!B14*1000)*(Assumptions!B8*(1+20/100))/100)*(Assumptions!B9)/100)*Assumptions!B5)*(1-(Assumptions!B26)/100))/Assumptions!B27)-Funnel_Model!M2</f>
        <v/>
      </c>
    </row>
    <row r="4">
      <c r="A4" t="inlineStr">
        <is>
          <t>Display</t>
        </is>
      </c>
      <c r="B4" t="inlineStr">
        <is>
          <t>CVR</t>
        </is>
      </c>
      <c r="C4" t="inlineStr">
        <is>
          <t>low</t>
        </is>
      </c>
      <c r="D4" t="n">
        <v>-20</v>
      </c>
      <c r="E4">
        <f>((((((Assumptions!B27/Assumptions!B14*1000)*(Assumptions!B8)/100)*(Assumptions!B9*(1+-20/100))/100)*Assumptions!B5)*(1-(Assumptions!B26)/100))/Assumptions!B27)</f>
        <v/>
      </c>
      <c r="F4">
        <f>((((((Assumptions!B27/Assumptions!B14*1000)*(Assumptions!B8)/100)*(Assumptions!B9*(1+-20/100))/100)*Assumptions!B5)*(1-(Assumptions!B26)/100))/Assumptions!B27)-Funnel_Model!M2</f>
        <v/>
      </c>
    </row>
    <row r="5">
      <c r="A5" t="inlineStr">
        <is>
          <t>Display</t>
        </is>
      </c>
      <c r="B5" t="inlineStr">
        <is>
          <t>CVR</t>
        </is>
      </c>
      <c r="C5" t="inlineStr">
        <is>
          <t>high</t>
        </is>
      </c>
      <c r="D5" t="n">
        <v>20</v>
      </c>
      <c r="E5">
        <f>((((((Assumptions!B27/Assumptions!B14*1000)*(Assumptions!B8)/100)*(Assumptions!B9*(1+20/100))/100)*Assumptions!B5)*(1-(Assumptions!B26)/100))/Assumptions!B27)</f>
        <v/>
      </c>
      <c r="F5">
        <f>((((((Assumptions!B27/Assumptions!B14*1000)*(Assumptions!B8)/100)*(Assumptions!B9*(1+20/100))/100)*Assumptions!B5)*(1-(Assumptions!B26)/100))/Assumptions!B27)-Funnel_Model!M2</f>
        <v/>
      </c>
    </row>
    <row r="6">
      <c r="A6" t="inlineStr">
        <is>
          <t>Display</t>
        </is>
      </c>
      <c r="B6" t="inlineStr">
        <is>
          <t>Haircut</t>
        </is>
      </c>
      <c r="C6" t="inlineStr">
        <is>
          <t>low</t>
        </is>
      </c>
      <c r="D6" t="n">
        <v>-20</v>
      </c>
      <c r="E6">
        <f>((((((Assumptions!B27/Assumptions!B14*1000)*(Assumptions!B8)/100)*(Assumptions!B9)/100)*Assumptions!B5)*(1-(Assumptions!B26*(1+-20/100))/100))/Assumptions!B27)</f>
        <v/>
      </c>
      <c r="F6">
        <f>((((((Assumptions!B27/Assumptions!B14*1000)*(Assumptions!B8)/100)*(Assumptions!B9)/100)*Assumptions!B5)*(1-(Assumptions!B26*(1+-20/100))/100))/Assumptions!B27)-Funnel_Model!M2</f>
        <v/>
      </c>
    </row>
    <row r="7">
      <c r="A7" t="inlineStr">
        <is>
          <t>Display</t>
        </is>
      </c>
      <c r="B7" t="inlineStr">
        <is>
          <t>Haircut</t>
        </is>
      </c>
      <c r="C7" t="inlineStr">
        <is>
          <t>high</t>
        </is>
      </c>
      <c r="D7" t="n">
        <v>20</v>
      </c>
      <c r="E7">
        <f>((((((Assumptions!B27/Assumptions!B14*1000)*(Assumptions!B8)/100)*(Assumptions!B9)/100)*Assumptions!B5)*(1-(Assumptions!B26*(1+20/100))/100))/Assumptions!B27)</f>
        <v/>
      </c>
      <c r="F7">
        <f>((((((Assumptions!B27/Assumptions!B14*1000)*(Assumptions!B8)/100)*(Assumptions!B9)/100)*Assumptions!B5)*(1-(Assumptions!B26*(1+20/100))/100))/Assumptions!B27)-Funnel_Model!M2</f>
        <v/>
      </c>
    </row>
    <row r="8">
      <c r="A8" t="inlineStr">
        <is>
          <t>Shopping</t>
        </is>
      </c>
      <c r="B8" t="inlineStr">
        <is>
          <t>CTR</t>
        </is>
      </c>
      <c r="C8" t="inlineStr">
        <is>
          <t>low</t>
        </is>
      </c>
      <c r="D8" t="n">
        <v>-20</v>
      </c>
      <c r="E8">
        <f>((((((Assumptions!B27/Assumptions!B22*1000)*(Assumptions!B17*(1+-20/100))/100)*(Assumptions!B18)/100)*Assumptions!B5)*(1-(Assumptions!B26)/100))/Assumptions!B27)</f>
        <v/>
      </c>
      <c r="F8">
        <f>((((((Assumptions!B27/Assumptions!B22*1000)*(Assumptions!B17*(1+-20/100))/100)*(Assumptions!B18)/100)*Assumptions!B5)*(1-(Assumptions!B26)/100))/Assumptions!B27)-Funnel_Model!M3</f>
        <v/>
      </c>
    </row>
    <row r="9">
      <c r="A9" t="inlineStr">
        <is>
          <t>Shopping</t>
        </is>
      </c>
      <c r="B9" t="inlineStr">
        <is>
          <t>CTR</t>
        </is>
      </c>
      <c r="C9" t="inlineStr">
        <is>
          <t>high</t>
        </is>
      </c>
      <c r="D9" t="n">
        <v>20</v>
      </c>
      <c r="E9">
        <f>((((((Assumptions!B27/Assumptions!B22*1000)*(Assumptions!B17*(1+20/100))/100)*(Assumptions!B18)/100)*Assumptions!B5)*(1-(Assumptions!B26)/100))/Assumptions!B27)</f>
        <v/>
      </c>
      <c r="F9">
        <f>((((((Assumptions!B27/Assumptions!B22*1000)*(Assumptions!B17*(1+20/100))/100)*(Assumptions!B18)/100)*Assumptions!B5)*(1-(Assumptions!B26)/100))/Assumptions!B27)-Funnel_Model!M3</f>
        <v/>
      </c>
    </row>
    <row r="10">
      <c r="A10" t="inlineStr">
        <is>
          <t>Shopping</t>
        </is>
      </c>
      <c r="B10" t="inlineStr">
        <is>
          <t>CVR</t>
        </is>
      </c>
      <c r="C10" t="inlineStr">
        <is>
          <t>low</t>
        </is>
      </c>
      <c r="D10" t="n">
        <v>-20</v>
      </c>
      <c r="E10">
        <f>((((((Assumptions!B27/Assumptions!B22*1000)*(Assumptions!B17)/100)*(Assumptions!B18*(1+-20/100))/100)*Assumptions!B5)*(1-(Assumptions!B26)/100))/Assumptions!B27)</f>
        <v/>
      </c>
      <c r="F10">
        <f>((((((Assumptions!B27/Assumptions!B22*1000)*(Assumptions!B17)/100)*(Assumptions!B18*(1+-20/100))/100)*Assumptions!B5)*(1-(Assumptions!B26)/100))/Assumptions!B27)-Funnel_Model!M3</f>
        <v/>
      </c>
    </row>
    <row r="11">
      <c r="A11" t="inlineStr">
        <is>
          <t>Shopping</t>
        </is>
      </c>
      <c r="B11" t="inlineStr">
        <is>
          <t>CVR</t>
        </is>
      </c>
      <c r="C11" t="inlineStr">
        <is>
          <t>high</t>
        </is>
      </c>
      <c r="D11" t="n">
        <v>20</v>
      </c>
      <c r="E11">
        <f>((((((Assumptions!B27/Assumptions!B22*1000)*(Assumptions!B17)/100)*(Assumptions!B18*(1+20/100))/100)*Assumptions!B5)*(1-(Assumptions!B26)/100))/Assumptions!B27)</f>
        <v/>
      </c>
      <c r="F11">
        <f>((((((Assumptions!B27/Assumptions!B22*1000)*(Assumptions!B17)/100)*(Assumptions!B18*(1+20/100))/100)*Assumptions!B5)*(1-(Assumptions!B26)/100))/Assumptions!B27)-Funnel_Model!M3</f>
        <v/>
      </c>
    </row>
    <row r="12">
      <c r="A12" t="inlineStr">
        <is>
          <t>Shopping</t>
        </is>
      </c>
      <c r="B12" t="inlineStr">
        <is>
          <t>Haircut</t>
        </is>
      </c>
      <c r="C12" t="inlineStr">
        <is>
          <t>low</t>
        </is>
      </c>
      <c r="D12" t="n">
        <v>-20</v>
      </c>
      <c r="E12">
        <f>((((((Assumptions!B27/Assumptions!B22*1000)*(Assumptions!B17)/100)*(Assumptions!B18)/100)*Assumptions!B5)*(1-(Assumptions!B26*(1+-20/100))/100))/Assumptions!B27)</f>
        <v/>
      </c>
      <c r="F12">
        <f>((((((Assumptions!B27/Assumptions!B22*1000)*(Assumptions!B17)/100)*(Assumptions!B18)/100)*Assumptions!B5)*(1-(Assumptions!B26*(1+-20/100))/100))/Assumptions!B27)-Funnel_Model!M3</f>
        <v/>
      </c>
    </row>
    <row r="13">
      <c r="A13" t="inlineStr">
        <is>
          <t>Shopping</t>
        </is>
      </c>
      <c r="B13" t="inlineStr">
        <is>
          <t>Haircut</t>
        </is>
      </c>
      <c r="C13" t="inlineStr">
        <is>
          <t>high</t>
        </is>
      </c>
      <c r="D13" t="n">
        <v>20</v>
      </c>
      <c r="E13">
        <f>((((((Assumptions!B27/Assumptions!B22*1000)*(Assumptions!B17)/100)*(Assumptions!B18)/100)*Assumptions!B5)*(1-(Assumptions!B26*(1+20/100))/100))/Assumptions!B27)</f>
        <v/>
      </c>
      <c r="F13">
        <f>((((((Assumptions!B27/Assumptions!B22*1000)*(Assumptions!B17)/100)*(Assumptions!B18)/100)*Assumptions!B5)*(1-(Assumptions!B26*(1+20/100))/100))/Assumptions!B27)-Funnel_Model!M3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2026-09-22T17:14:21Z</dcterms:created>
  <dcterms:modified xmlns:dcterms="http://purl.org/dc/terms/" xmlns:xsi="http://www.w3.org/2001/XMLSchema-instance" xsi:type="dcterms:W3CDTF">2026-09-22T17:14:21Z</dcterms:modified>
</cp:coreProperties>
</file>